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ndre\TCC\SVRDD_ViT_Detection\DINOv3\evaluation_results\"/>
    </mc:Choice>
  </mc:AlternateContent>
  <xr:revisionPtr revIDLastSave="0" documentId="13_ncr:1_{F6E839F8-C758-4B98-840B-91C75B93FF34}" xr6:coauthVersionLast="47" xr6:coauthVersionMax="47" xr10:uidLastSave="{00000000-0000-0000-0000-000000000000}"/>
  <bookViews>
    <workbookView xWindow="3432" yWindow="2160" windowWidth="17280" windowHeight="8964" activeTab="1" xr2:uid="{00000000-000D-0000-FFFF-FFFF00000000}"/>
  </bookViews>
  <sheets>
    <sheet name="counts" sheetId="1" r:id="rId1"/>
    <sheet name="all" sheetId="2" r:id="rId2"/>
    <sheet name="small" sheetId="3" r:id="rId3"/>
    <sheet name="medium" sheetId="4" r:id="rId4"/>
    <sheet name="lar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D11" i="2"/>
</calcChain>
</file>

<file path=xl/sharedStrings.xml><?xml version="1.0" encoding="utf-8"?>
<sst xmlns="http://schemas.openxmlformats.org/spreadsheetml/2006/main" count="51" uniqueCount="14">
  <si>
    <t>total</t>
  </si>
  <si>
    <t>small</t>
  </si>
  <si>
    <t>medium</t>
  </si>
  <si>
    <t>large</t>
  </si>
  <si>
    <t>longitudinal crack</t>
  </si>
  <si>
    <t>transverse crack</t>
  </si>
  <si>
    <t>alligator crack</t>
  </si>
  <si>
    <t>pothole</t>
  </si>
  <si>
    <t>manhole cover</t>
  </si>
  <si>
    <t>longitudinal patch</t>
  </si>
  <si>
    <t>transverse patch</t>
  </si>
  <si>
    <t>Quantidade</t>
  </si>
  <si>
    <t>mAP50</t>
  </si>
  <si>
    <t>mAP50:0.95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</si>
</sst>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D12" sqref="D12"/>
    </sheetView>
  </sheetViews>
  <sheetFormatPr defaultRowHeight="14.4" x14ac:dyDescent="0.3"/>
  <sheetData>
    <row r="1" spans="1:5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>
        <v>616</v>
      </c>
      <c r="C2">
        <v>27</v>
      </c>
      <c r="D2">
        <v>269</v>
      </c>
      <c r="E2">
        <v>320</v>
      </c>
    </row>
    <row r="3" spans="1:5" x14ac:dyDescent="0.3">
      <c r="A3" s="1" t="s">
        <v>5</v>
      </c>
      <c r="B3">
        <v>436</v>
      </c>
      <c r="C3">
        <v>22</v>
      </c>
      <c r="D3">
        <v>212</v>
      </c>
      <c r="E3">
        <v>202</v>
      </c>
    </row>
    <row r="4" spans="1:5" x14ac:dyDescent="0.3">
      <c r="A4" s="1" t="s">
        <v>6</v>
      </c>
      <c r="B4">
        <v>182</v>
      </c>
      <c r="C4">
        <v>0</v>
      </c>
      <c r="D4">
        <v>10</v>
      </c>
      <c r="E4">
        <v>172</v>
      </c>
    </row>
    <row r="5" spans="1:5" x14ac:dyDescent="0.3">
      <c r="A5" s="1" t="s">
        <v>7</v>
      </c>
      <c r="B5">
        <v>124</v>
      </c>
      <c r="C5">
        <v>64</v>
      </c>
      <c r="D5">
        <v>52</v>
      </c>
      <c r="E5">
        <v>8</v>
      </c>
    </row>
    <row r="6" spans="1:5" x14ac:dyDescent="0.3">
      <c r="A6" s="1" t="s">
        <v>8</v>
      </c>
      <c r="B6">
        <v>419</v>
      </c>
      <c r="C6">
        <v>281</v>
      </c>
      <c r="D6">
        <v>138</v>
      </c>
      <c r="E6">
        <v>0</v>
      </c>
    </row>
    <row r="7" spans="1:5" x14ac:dyDescent="0.3">
      <c r="A7" s="1" t="s">
        <v>9</v>
      </c>
      <c r="B7">
        <v>500</v>
      </c>
      <c r="C7">
        <v>83</v>
      </c>
      <c r="D7">
        <v>214</v>
      </c>
      <c r="E7">
        <v>203</v>
      </c>
    </row>
    <row r="8" spans="1:5" x14ac:dyDescent="0.3">
      <c r="A8" s="1" t="s">
        <v>10</v>
      </c>
      <c r="B8">
        <v>295</v>
      </c>
      <c r="C8">
        <v>38</v>
      </c>
      <c r="D8">
        <v>138</v>
      </c>
      <c r="E8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tabSelected="1" workbookViewId="0">
      <selection activeCell="C11" sqref="C11"/>
    </sheetView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616</v>
      </c>
      <c r="C2">
        <v>0.59799999999999998</v>
      </c>
      <c r="D2">
        <v>0.41399999999999998</v>
      </c>
    </row>
    <row r="3" spans="1:4" x14ac:dyDescent="0.3">
      <c r="A3" s="1" t="s">
        <v>5</v>
      </c>
      <c r="B3">
        <v>436</v>
      </c>
      <c r="C3">
        <v>0.55800000000000005</v>
      </c>
      <c r="D3">
        <v>0.38700000000000001</v>
      </c>
    </row>
    <row r="4" spans="1:4" x14ac:dyDescent="0.3">
      <c r="A4" s="1" t="s">
        <v>6</v>
      </c>
      <c r="B4">
        <v>182</v>
      </c>
      <c r="C4">
        <v>0.72599999999999998</v>
      </c>
      <c r="D4">
        <v>0.47699999999999998</v>
      </c>
    </row>
    <row r="5" spans="1:4" x14ac:dyDescent="0.3">
      <c r="A5" s="1" t="s">
        <v>7</v>
      </c>
      <c r="B5">
        <v>124</v>
      </c>
      <c r="C5">
        <v>0.61699999999999999</v>
      </c>
      <c r="D5">
        <v>0.41399999999999998</v>
      </c>
    </row>
    <row r="6" spans="1:4" x14ac:dyDescent="0.3">
      <c r="A6" s="1" t="s">
        <v>8</v>
      </c>
      <c r="B6">
        <v>419</v>
      </c>
      <c r="C6">
        <v>0.71499999999999997</v>
      </c>
      <c r="D6">
        <v>0.502</v>
      </c>
    </row>
    <row r="7" spans="1:4" x14ac:dyDescent="0.3">
      <c r="A7" s="1" t="s">
        <v>9</v>
      </c>
      <c r="B7">
        <v>500</v>
      </c>
      <c r="C7">
        <v>0.75800000000000001</v>
      </c>
      <c r="D7">
        <v>0.58099999999999996</v>
      </c>
    </row>
    <row r="8" spans="1:4" x14ac:dyDescent="0.3">
      <c r="A8" s="1" t="s">
        <v>10</v>
      </c>
      <c r="B8">
        <v>295</v>
      </c>
      <c r="C8">
        <v>0.66300000000000003</v>
      </c>
      <c r="D8">
        <v>0.46700000000000003</v>
      </c>
    </row>
    <row r="11" spans="1:4" x14ac:dyDescent="0.3">
      <c r="C11" s="2">
        <f>AVERAGE(C2:C8)</f>
        <v>0.66214285714285714</v>
      </c>
      <c r="D11" s="2">
        <f>AVERAGE(D2:D8)</f>
        <v>0.46314285714285713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27</v>
      </c>
      <c r="C2">
        <v>0.16800000000000001</v>
      </c>
      <c r="D2">
        <v>6.0999999999999999E-2</v>
      </c>
    </row>
    <row r="3" spans="1:4" x14ac:dyDescent="0.3">
      <c r="A3" s="1" t="s">
        <v>5</v>
      </c>
      <c r="B3">
        <v>22</v>
      </c>
      <c r="C3">
        <v>0.13900000000000001</v>
      </c>
      <c r="D3">
        <v>7.4999999999999997E-2</v>
      </c>
    </row>
    <row r="4" spans="1:4" x14ac:dyDescent="0.3">
      <c r="A4" s="1" t="s">
        <v>6</v>
      </c>
      <c r="B4">
        <v>0</v>
      </c>
    </row>
    <row r="5" spans="1:4" x14ac:dyDescent="0.3">
      <c r="A5" s="1" t="s">
        <v>7</v>
      </c>
      <c r="B5">
        <v>64</v>
      </c>
      <c r="C5">
        <v>0.52600000000000002</v>
      </c>
      <c r="D5">
        <v>0.309</v>
      </c>
    </row>
    <row r="6" spans="1:4" x14ac:dyDescent="0.3">
      <c r="A6" s="1" t="s">
        <v>8</v>
      </c>
      <c r="B6">
        <v>281</v>
      </c>
      <c r="C6">
        <v>0.59799999999999998</v>
      </c>
      <c r="D6">
        <v>0.36899999999999999</v>
      </c>
    </row>
    <row r="7" spans="1:4" x14ac:dyDescent="0.3">
      <c r="A7" s="1" t="s">
        <v>9</v>
      </c>
      <c r="B7">
        <v>83</v>
      </c>
      <c r="C7">
        <v>0.57699999999999996</v>
      </c>
      <c r="D7">
        <v>0.315</v>
      </c>
    </row>
    <row r="8" spans="1:4" x14ac:dyDescent="0.3">
      <c r="A8" s="1" t="s">
        <v>10</v>
      </c>
      <c r="B8">
        <v>38</v>
      </c>
      <c r="C8">
        <v>0.42699999999999999</v>
      </c>
      <c r="D8">
        <v>0.19500000000000001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269</v>
      </c>
      <c r="C2">
        <v>0.56000000000000005</v>
      </c>
      <c r="D2">
        <v>0.33700000000000002</v>
      </c>
    </row>
    <row r="3" spans="1:4" x14ac:dyDescent="0.3">
      <c r="A3" s="1" t="s">
        <v>5</v>
      </c>
      <c r="B3">
        <v>212</v>
      </c>
      <c r="C3">
        <v>0.39600000000000002</v>
      </c>
      <c r="D3">
        <v>0.24</v>
      </c>
    </row>
    <row r="4" spans="1:4" x14ac:dyDescent="0.3">
      <c r="A4" s="1" t="s">
        <v>6</v>
      </c>
      <c r="B4">
        <v>10</v>
      </c>
      <c r="C4">
        <v>0.307</v>
      </c>
      <c r="D4">
        <v>0.191</v>
      </c>
    </row>
    <row r="5" spans="1:4" x14ac:dyDescent="0.3">
      <c r="A5" s="1" t="s">
        <v>7</v>
      </c>
      <c r="B5">
        <v>52</v>
      </c>
      <c r="C5">
        <v>0.73399999999999999</v>
      </c>
      <c r="D5">
        <v>0.52500000000000002</v>
      </c>
    </row>
    <row r="6" spans="1:4" x14ac:dyDescent="0.3">
      <c r="A6" s="1" t="s">
        <v>8</v>
      </c>
      <c r="B6">
        <v>138</v>
      </c>
      <c r="C6">
        <v>0.92600000000000005</v>
      </c>
      <c r="D6">
        <v>0.747</v>
      </c>
    </row>
    <row r="7" spans="1:4" x14ac:dyDescent="0.3">
      <c r="A7" s="1" t="s">
        <v>9</v>
      </c>
      <c r="B7">
        <v>214</v>
      </c>
      <c r="C7">
        <v>0.73799999999999999</v>
      </c>
      <c r="D7">
        <v>0.56899999999999995</v>
      </c>
    </row>
    <row r="8" spans="1:4" x14ac:dyDescent="0.3">
      <c r="A8" s="1" t="s">
        <v>10</v>
      </c>
      <c r="B8">
        <v>138</v>
      </c>
      <c r="C8">
        <v>0.61099999999999999</v>
      </c>
      <c r="D8">
        <v>0.40600000000000003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320</v>
      </c>
      <c r="C2">
        <v>0.68700000000000006</v>
      </c>
      <c r="D2">
        <v>0.51400000000000001</v>
      </c>
    </row>
    <row r="3" spans="1:4" x14ac:dyDescent="0.3">
      <c r="A3" s="1" t="s">
        <v>5</v>
      </c>
      <c r="B3">
        <v>202</v>
      </c>
      <c r="C3">
        <v>0.76200000000000001</v>
      </c>
      <c r="D3">
        <v>0.56299999999999994</v>
      </c>
    </row>
    <row r="4" spans="1:4" x14ac:dyDescent="0.3">
      <c r="A4" s="1" t="s">
        <v>6</v>
      </c>
      <c r="B4">
        <v>172</v>
      </c>
      <c r="C4">
        <v>0.746</v>
      </c>
      <c r="D4">
        <v>0.496</v>
      </c>
    </row>
    <row r="5" spans="1:4" x14ac:dyDescent="0.3">
      <c r="A5" s="1" t="s">
        <v>7</v>
      </c>
      <c r="B5">
        <v>8</v>
      </c>
      <c r="C5">
        <v>0.624</v>
      </c>
      <c r="D5">
        <v>0.56100000000000005</v>
      </c>
    </row>
    <row r="6" spans="1:4" x14ac:dyDescent="0.3">
      <c r="A6" s="1" t="s">
        <v>8</v>
      </c>
      <c r="B6">
        <v>0</v>
      </c>
    </row>
    <row r="7" spans="1:4" x14ac:dyDescent="0.3">
      <c r="A7" s="1" t="s">
        <v>9</v>
      </c>
      <c r="B7">
        <v>203</v>
      </c>
      <c r="C7">
        <v>0.85599999999999998</v>
      </c>
      <c r="D7">
        <v>0.70499999999999996</v>
      </c>
    </row>
    <row r="8" spans="1:4" x14ac:dyDescent="0.3">
      <c r="A8" s="1" t="s">
        <v>10</v>
      </c>
      <c r="B8">
        <v>119</v>
      </c>
      <c r="C8">
        <v>0.81499999999999995</v>
      </c>
      <c r="D8">
        <v>0.63800000000000001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counts</vt:lpstr>
      <vt:lpstr>all</vt:lpstr>
      <vt:lpstr>small</vt:lpstr>
      <vt:lpstr>medium</vt:lpstr>
      <vt:lpstr>large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 Pereira</cp:lastModifiedBy>
  <dcterms:created xsi:type="dcterms:W3CDTF">2025-11-23T03:18:49Z</dcterms:created>
  <dcterms:modified xsi:type="dcterms:W3CDTF">2025-11-27T18:55:10Z</dcterms:modified>
</cp:coreProperties>
</file>