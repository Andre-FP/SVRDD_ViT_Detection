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andre\TCC\SVRDD_ViT_Detection\YOLOv11\evaluation_results\"/>
    </mc:Choice>
  </mc:AlternateContent>
  <xr:revisionPtr revIDLastSave="0" documentId="13_ncr:1_{04C4256E-00E5-4431-8F83-4488AA5EB818}" xr6:coauthVersionLast="47" xr6:coauthVersionMax="47" xr10:uidLastSave="{00000000-0000-0000-0000-000000000000}"/>
  <bookViews>
    <workbookView xWindow="2892" yWindow="2016" windowWidth="17280" windowHeight="8964" activeTab="1" xr2:uid="{00000000-000D-0000-FFFF-FFFF00000000}"/>
  </bookViews>
  <sheets>
    <sheet name="counts" sheetId="1" r:id="rId1"/>
    <sheet name="all" sheetId="2" r:id="rId2"/>
    <sheet name="small" sheetId="3" r:id="rId3"/>
    <sheet name="medium" sheetId="4" r:id="rId4"/>
    <sheet name="larg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D10" i="2"/>
</calcChain>
</file>

<file path=xl/sharedStrings.xml><?xml version="1.0" encoding="utf-8"?>
<sst xmlns="http://schemas.openxmlformats.org/spreadsheetml/2006/main" count="51" uniqueCount="14">
  <si>
    <t>total</t>
  </si>
  <si>
    <t>small</t>
  </si>
  <si>
    <t>medium</t>
  </si>
  <si>
    <t>large</t>
  </si>
  <si>
    <t>longitudinal crack</t>
  </si>
  <si>
    <t>transverse crack</t>
  </si>
  <si>
    <t>alligator crack</t>
  </si>
  <si>
    <t>pothole</t>
  </si>
  <si>
    <t>manhole cover</t>
  </si>
  <si>
    <t>longitudinal patch</t>
  </si>
  <si>
    <t>transverse patch</t>
  </si>
  <si>
    <t>Quantidade</t>
  </si>
  <si>
    <t>mAP50</t>
  </si>
  <si>
    <t>mAP50:0.95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</si>
</sst>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/>
  </sheetViews>
  <sheetFormatPr defaultRowHeight="14.4" x14ac:dyDescent="0.3"/>
  <sheetData>
    <row r="1" spans="1:5" x14ac:dyDescent="0.3">
      <c r="B1" s="1" t="s">
        <v>0</v>
      </c>
      <c r="C1" s="1" t="s">
        <v>1</v>
      </c>
      <c r="D1" s="1" t="s">
        <v>2</v>
      </c>
      <c r="E1" s="1" t="s">
        <v>3</v>
      </c>
    </row>
    <row r="2" spans="1:5" x14ac:dyDescent="0.3">
      <c r="A2" s="1" t="s">
        <v>4</v>
      </c>
      <c r="B2">
        <v>616</v>
      </c>
      <c r="C2">
        <v>27</v>
      </c>
      <c r="D2">
        <v>269</v>
      </c>
      <c r="E2">
        <v>320</v>
      </c>
    </row>
    <row r="3" spans="1:5" x14ac:dyDescent="0.3">
      <c r="A3" s="1" t="s">
        <v>5</v>
      </c>
      <c r="B3">
        <v>436</v>
      </c>
      <c r="C3">
        <v>22</v>
      </c>
      <c r="D3">
        <v>212</v>
      </c>
      <c r="E3">
        <v>202</v>
      </c>
    </row>
    <row r="4" spans="1:5" x14ac:dyDescent="0.3">
      <c r="A4" s="1" t="s">
        <v>6</v>
      </c>
      <c r="B4">
        <v>182</v>
      </c>
      <c r="C4">
        <v>0</v>
      </c>
      <c r="D4">
        <v>10</v>
      </c>
      <c r="E4">
        <v>172</v>
      </c>
    </row>
    <row r="5" spans="1:5" x14ac:dyDescent="0.3">
      <c r="A5" s="1" t="s">
        <v>7</v>
      </c>
      <c r="B5">
        <v>124</v>
      </c>
      <c r="C5">
        <v>64</v>
      </c>
      <c r="D5">
        <v>52</v>
      </c>
      <c r="E5">
        <v>8</v>
      </c>
    </row>
    <row r="6" spans="1:5" x14ac:dyDescent="0.3">
      <c r="A6" s="1" t="s">
        <v>8</v>
      </c>
      <c r="B6">
        <v>419</v>
      </c>
      <c r="C6">
        <v>281</v>
      </c>
      <c r="D6">
        <v>138</v>
      </c>
      <c r="E6">
        <v>0</v>
      </c>
    </row>
    <row r="7" spans="1:5" x14ac:dyDescent="0.3">
      <c r="A7" s="1" t="s">
        <v>9</v>
      </c>
      <c r="B7">
        <v>500</v>
      </c>
      <c r="C7">
        <v>83</v>
      </c>
      <c r="D7">
        <v>214</v>
      </c>
      <c r="E7">
        <v>203</v>
      </c>
    </row>
    <row r="8" spans="1:5" x14ac:dyDescent="0.3">
      <c r="A8" s="1" t="s">
        <v>10</v>
      </c>
      <c r="B8">
        <v>295</v>
      </c>
      <c r="C8">
        <v>38</v>
      </c>
      <c r="D8">
        <v>138</v>
      </c>
      <c r="E8">
        <v>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tabSelected="1" workbookViewId="0">
      <selection activeCell="C11" sqref="C11"/>
    </sheetView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616</v>
      </c>
      <c r="C2">
        <v>0.61599999999999999</v>
      </c>
      <c r="D2">
        <v>0.41599999999999998</v>
      </c>
    </row>
    <row r="3" spans="1:4" x14ac:dyDescent="0.3">
      <c r="A3" s="1" t="s">
        <v>5</v>
      </c>
      <c r="B3">
        <v>436</v>
      </c>
      <c r="C3">
        <v>0.58599999999999997</v>
      </c>
      <c r="D3">
        <v>0.35799999999999998</v>
      </c>
    </row>
    <row r="4" spans="1:4" x14ac:dyDescent="0.3">
      <c r="A4" s="1" t="s">
        <v>6</v>
      </c>
      <c r="B4">
        <v>182</v>
      </c>
      <c r="C4">
        <v>0.746</v>
      </c>
      <c r="D4">
        <v>0.48099999999999998</v>
      </c>
    </row>
    <row r="5" spans="1:4" x14ac:dyDescent="0.3">
      <c r="A5" s="1" t="s">
        <v>7</v>
      </c>
      <c r="B5">
        <v>124</v>
      </c>
      <c r="C5">
        <v>0.623</v>
      </c>
      <c r="D5">
        <v>0.39400000000000002</v>
      </c>
    </row>
    <row r="6" spans="1:4" x14ac:dyDescent="0.3">
      <c r="A6" s="1" t="s">
        <v>8</v>
      </c>
      <c r="B6">
        <v>419</v>
      </c>
      <c r="C6">
        <v>0.81599999999999995</v>
      </c>
      <c r="D6">
        <v>0.58399999999999996</v>
      </c>
    </row>
    <row r="7" spans="1:4" x14ac:dyDescent="0.3">
      <c r="A7" s="1" t="s">
        <v>9</v>
      </c>
      <c r="B7">
        <v>500</v>
      </c>
      <c r="C7">
        <v>0.76</v>
      </c>
      <c r="D7">
        <v>0.54600000000000004</v>
      </c>
    </row>
    <row r="8" spans="1:4" x14ac:dyDescent="0.3">
      <c r="A8" s="1" t="s">
        <v>10</v>
      </c>
      <c r="B8">
        <v>295</v>
      </c>
      <c r="C8">
        <v>0.66200000000000003</v>
      </c>
      <c r="D8">
        <v>0.40899999999999997</v>
      </c>
    </row>
    <row r="10" spans="1:4" x14ac:dyDescent="0.3">
      <c r="C10">
        <f>AVERAGE(C2:C8)</f>
        <v>0.68699999999999994</v>
      </c>
      <c r="D10">
        <f>AVERAGE(D2:D8)</f>
        <v>0.4554285714285714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27</v>
      </c>
      <c r="C2">
        <v>0.19800000000000001</v>
      </c>
      <c r="D2">
        <v>7.5999999999999998E-2</v>
      </c>
    </row>
    <row r="3" spans="1:4" x14ac:dyDescent="0.3">
      <c r="A3" s="1" t="s">
        <v>5</v>
      </c>
      <c r="B3">
        <v>22</v>
      </c>
      <c r="C3">
        <v>0.16300000000000001</v>
      </c>
      <c r="D3">
        <v>4.1000000000000002E-2</v>
      </c>
    </row>
    <row r="4" spans="1:4" x14ac:dyDescent="0.3">
      <c r="A4" s="1" t="s">
        <v>6</v>
      </c>
      <c r="B4">
        <v>0</v>
      </c>
    </row>
    <row r="5" spans="1:4" x14ac:dyDescent="0.3">
      <c r="A5" s="1" t="s">
        <v>7</v>
      </c>
      <c r="B5">
        <v>64</v>
      </c>
      <c r="C5">
        <v>0.60799999999999998</v>
      </c>
      <c r="D5">
        <v>0.35899999999999999</v>
      </c>
    </row>
    <row r="6" spans="1:4" x14ac:dyDescent="0.3">
      <c r="A6" s="1" t="s">
        <v>8</v>
      </c>
      <c r="B6">
        <v>281</v>
      </c>
      <c r="C6">
        <v>0.73699999999999999</v>
      </c>
      <c r="D6">
        <v>0.46300000000000002</v>
      </c>
    </row>
    <row r="7" spans="1:4" x14ac:dyDescent="0.3">
      <c r="A7" s="1" t="s">
        <v>9</v>
      </c>
      <c r="B7">
        <v>83</v>
      </c>
      <c r="C7">
        <v>0.64700000000000002</v>
      </c>
      <c r="D7">
        <v>0.32900000000000001</v>
      </c>
    </row>
    <row r="8" spans="1:4" x14ac:dyDescent="0.3">
      <c r="A8" s="1" t="s">
        <v>10</v>
      </c>
      <c r="B8">
        <v>38</v>
      </c>
      <c r="C8">
        <v>0.53</v>
      </c>
      <c r="D8">
        <v>0.26700000000000002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269</v>
      </c>
      <c r="C2">
        <v>0.55900000000000005</v>
      </c>
      <c r="D2">
        <v>0.34699999999999998</v>
      </c>
    </row>
    <row r="3" spans="1:4" x14ac:dyDescent="0.3">
      <c r="A3" s="1" t="s">
        <v>5</v>
      </c>
      <c r="B3">
        <v>212</v>
      </c>
      <c r="C3">
        <v>0.48</v>
      </c>
      <c r="D3">
        <v>0.27300000000000002</v>
      </c>
    </row>
    <row r="4" spans="1:4" x14ac:dyDescent="0.3">
      <c r="A4" s="1" t="s">
        <v>6</v>
      </c>
      <c r="B4">
        <v>10</v>
      </c>
      <c r="C4">
        <v>0.28199999999999997</v>
      </c>
      <c r="D4">
        <v>0.14099999999999999</v>
      </c>
    </row>
    <row r="5" spans="1:4" x14ac:dyDescent="0.3">
      <c r="A5" s="1" t="s">
        <v>7</v>
      </c>
      <c r="B5">
        <v>52</v>
      </c>
      <c r="C5">
        <v>0.73799999999999999</v>
      </c>
      <c r="D5">
        <v>0.51500000000000001</v>
      </c>
    </row>
    <row r="6" spans="1:4" x14ac:dyDescent="0.3">
      <c r="A6" s="1" t="s">
        <v>8</v>
      </c>
      <c r="B6">
        <v>138</v>
      </c>
      <c r="C6">
        <v>0.94</v>
      </c>
      <c r="D6">
        <v>0.78500000000000003</v>
      </c>
    </row>
    <row r="7" spans="1:4" x14ac:dyDescent="0.3">
      <c r="A7" s="1" t="s">
        <v>9</v>
      </c>
      <c r="B7">
        <v>214</v>
      </c>
      <c r="C7">
        <v>0.70899999999999996</v>
      </c>
      <c r="D7">
        <v>0.54400000000000004</v>
      </c>
    </row>
    <row r="8" spans="1:4" x14ac:dyDescent="0.3">
      <c r="A8" s="1" t="s">
        <v>10</v>
      </c>
      <c r="B8">
        <v>138</v>
      </c>
      <c r="C8">
        <v>0.59599999999999997</v>
      </c>
      <c r="D8">
        <v>0.34200000000000003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workbookViewId="0"/>
  </sheetViews>
  <sheetFormatPr defaultRowHeight="14.4" x14ac:dyDescent="0.3"/>
  <sheetData>
    <row r="1" spans="1:4" x14ac:dyDescent="0.3">
      <c r="B1" s="1" t="s">
        <v>11</v>
      </c>
      <c r="C1" s="1" t="s">
        <v>12</v>
      </c>
      <c r="D1" s="1" t="s">
        <v>13</v>
      </c>
    </row>
    <row r="2" spans="1:4" x14ac:dyDescent="0.3">
      <c r="A2" s="1" t="s">
        <v>4</v>
      </c>
      <c r="B2">
        <v>320</v>
      </c>
      <c r="C2">
        <v>0.71099999999999997</v>
      </c>
      <c r="D2">
        <v>0.50900000000000001</v>
      </c>
    </row>
    <row r="3" spans="1:4" x14ac:dyDescent="0.3">
      <c r="A3" s="1" t="s">
        <v>5</v>
      </c>
      <c r="B3">
        <v>202</v>
      </c>
      <c r="C3">
        <v>0.75</v>
      </c>
      <c r="D3">
        <v>0.48399999999999999</v>
      </c>
    </row>
    <row r="4" spans="1:4" x14ac:dyDescent="0.3">
      <c r="A4" s="1" t="s">
        <v>6</v>
      </c>
      <c r="B4">
        <v>172</v>
      </c>
      <c r="C4">
        <v>0.77500000000000002</v>
      </c>
      <c r="D4">
        <v>0.501</v>
      </c>
    </row>
    <row r="5" spans="1:4" x14ac:dyDescent="0.3">
      <c r="A5" s="1" t="s">
        <v>7</v>
      </c>
      <c r="B5">
        <v>8</v>
      </c>
      <c r="C5">
        <v>0.17199999999999999</v>
      </c>
      <c r="D5">
        <v>7.9000000000000001E-2</v>
      </c>
    </row>
    <row r="6" spans="1:4" x14ac:dyDescent="0.3">
      <c r="A6" s="1" t="s">
        <v>8</v>
      </c>
      <c r="B6">
        <v>0</v>
      </c>
    </row>
    <row r="7" spans="1:4" x14ac:dyDescent="0.3">
      <c r="A7" s="1" t="s">
        <v>9</v>
      </c>
      <c r="B7">
        <v>203</v>
      </c>
      <c r="C7">
        <v>0.85699999999999998</v>
      </c>
      <c r="D7">
        <v>0.63200000000000001</v>
      </c>
    </row>
    <row r="8" spans="1:4" x14ac:dyDescent="0.3">
      <c r="A8" s="1" t="s">
        <v>10</v>
      </c>
      <c r="B8">
        <v>119</v>
      </c>
      <c r="C8">
        <v>0.80900000000000005</v>
      </c>
      <c r="D8">
        <v>0.55100000000000005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counts</vt:lpstr>
      <vt:lpstr>all</vt:lpstr>
      <vt:lpstr>small</vt:lpstr>
      <vt:lpstr>medium</vt:lpstr>
      <vt:lpstr>large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 Pereira</cp:lastModifiedBy>
  <dcterms:created xsi:type="dcterms:W3CDTF">2025-11-21T23:59:25Z</dcterms:created>
  <dcterms:modified xsi:type="dcterms:W3CDTF">2025-11-27T23:02:06Z</dcterms:modified>
</cp:coreProperties>
</file>